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st\Entri\Assignment's\"/>
    </mc:Choice>
  </mc:AlternateContent>
  <xr:revisionPtr revIDLastSave="0" documentId="13_ncr:1_{651B1025-EC87-4757-BFC7-1C26AB9C694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Assignment Answers" sheetId="3" r:id="rId2"/>
    <sheet name="Dataset" sheetId="2" r:id="rId3"/>
  </sheets>
  <definedNames>
    <definedName name="_xlnm._FilterDatabase" localSheetId="2" hidden="1">Dataset!$A$1:$G$35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E36" i="3"/>
  <c r="E3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21" i="3"/>
  <c r="D17" i="3"/>
  <c r="C12" i="3"/>
  <c r="C8" i="3"/>
  <c r="C4" i="3"/>
</calcChain>
</file>

<file path=xl/sharedStrings.xml><?xml version="1.0" encoding="utf-8"?>
<sst xmlns="http://schemas.openxmlformats.org/spreadsheetml/2006/main" count="183" uniqueCount="118">
  <si>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</si>
  <si>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</si>
  <si>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</si>
  <si>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</si>
  <si>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</si>
  <si>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</si>
  <si>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</si>
  <si>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</si>
  <si>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</si>
  <si>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</si>
  <si>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</si>
  <si>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</si>
  <si>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</si>
  <si>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</si>
  <si>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</si>
  <si>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</si>
  <si>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</si>
  <si>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</si>
  <si>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</si>
  <si>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</si>
  <si>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</si>
  <si>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</si>
  <si>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</si>
  <si>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</si>
  <si>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</si>
  <si>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</si>
  <si>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</si>
  <si>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</si>
  <si>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</si>
  <si>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</si>
  <si>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</si>
  <si>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</si>
  <si>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</si>
  <si>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</si>
  <si>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</si>
  <si>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</si>
  <si>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</si>
  <si>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</si>
  <si>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</si>
  <si>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</si>
  <si>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</si>
  <si>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</si>
  <si>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</si>
  <si>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</si>
  <si>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</si>
  <si>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</si>
  <si>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</si>
  <si>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</si>
  <si>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</si>
  <si>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</si>
  <si>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</si>
  <si>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</si>
  <si>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</si>
  <si>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</si>
  <si>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</si>
  <si>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</si>
  <si>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</si>
  <si>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</si>
  <si>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</si>
  <si>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</si>
  <si>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</si>
  <si>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</si>
  <si>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</si>
  <si>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</si>
  <si>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</si>
  <si>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</si>
  <si>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</si>
  <si>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</si>
  <si>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</si>
  <si>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</si>
  <si>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</si>
  <si>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</si>
  <si>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</si>
  <si>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</si>
  <si>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</si>
  <si>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</si>
  <si>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</si>
  <si>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</si>
  <si>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</si>
  <si>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</si>
  <si>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</si>
  <si>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</si>
  <si>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</si>
  <si>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</si>
  <si>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</si>
  <si>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</si>
  <si>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</si>
  <si>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</si>
  <si>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</si>
  <si>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</si>
  <si>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</si>
  <si>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</si>
  <si>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</si>
  <si>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</si>
  <si>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</si>
  <si>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</si>
  <si>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</si>
  <si>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</si>
  <si>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</si>
  <si>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</si>
  <si>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</si>
  <si>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</si>
  <si>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</si>
  <si>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</si>
  <si>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</si>
  <si>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</si>
  <si>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</si>
  <si>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</si>
  <si>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</si>
  <si>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</si>
  <si>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</si>
  <si>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Create a New column named Price range in G column in Dataset sheet</t>
  </si>
  <si>
    <t>Day</t>
  </si>
  <si>
    <t>Create a New column named Day in H column in Dataset sheet</t>
  </si>
  <si>
    <t>Country Code</t>
  </si>
  <si>
    <t>Create a New column named Country Code in I column in Dataset sheet</t>
  </si>
  <si>
    <t>Create a New column named Month in J column in Dataset sheet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</si>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</sst>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0" fillId="0" borderId="0" xfId="0" applyFont="1" applyBorder="1" applyAlignment="1"/>
    <xf numFmtId="2" fontId="0" fillId="0" borderId="0" xfId="0" applyNumberFormat="1" applyFont="1" applyAlignment="1"/>
    <xf numFmtId="0" fontId="7" fillId="0" borderId="0" xfId="0" applyFont="1" applyFill="1" applyBorder="1" applyAlignment="1">
      <alignment horizontal="left"/>
    </xf>
    <xf numFmtId="0" fontId="8" fillId="0" borderId="0" xfId="0" applyFont="1" applyAlignment="1"/>
    <xf numFmtId="0" fontId="9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D30" sqref="D30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581B-E909-4F23-893B-21114040B7AE}">
  <dimension ref="A1:E52"/>
  <sheetViews>
    <sheetView tabSelected="1" workbookViewId="0">
      <selection activeCell="C26" sqref="C26"/>
    </sheetView>
  </sheetViews>
  <sheetFormatPr defaultRowHeight="12.5" x14ac:dyDescent="0.25"/>
  <cols>
    <col min="2" max="2" width="10.7265625" customWidth="1"/>
  </cols>
  <sheetData>
    <row r="1" spans="1:3" ht="15" x14ac:dyDescent="0.3">
      <c r="A1" s="2" t="s">
        <v>1</v>
      </c>
    </row>
    <row r="2" spans="1:3" ht="15.5" x14ac:dyDescent="0.35">
      <c r="A2" s="2"/>
      <c r="B2" s="3" t="s">
        <v>2</v>
      </c>
    </row>
    <row r="3" spans="1:3" ht="15.5" x14ac:dyDescent="0.35">
      <c r="A3" s="2"/>
      <c r="B3" s="3"/>
    </row>
    <row r="4" spans="1:3" ht="15.5" x14ac:dyDescent="0.35">
      <c r="A4" s="2"/>
      <c r="B4" s="3"/>
      <c r="C4" s="9">
        <f>SUM(Dataset!D2:D35)</f>
        <v>10100</v>
      </c>
    </row>
    <row r="6" spans="1:3" ht="15.5" x14ac:dyDescent="0.35">
      <c r="B6" s="3" t="s">
        <v>3</v>
      </c>
    </row>
    <row r="8" spans="1:3" x14ac:dyDescent="0.25">
      <c r="C8">
        <f>COUNTA(Dataset!B2:B35)</f>
        <v>34</v>
      </c>
    </row>
    <row r="10" spans="1:3" ht="15.5" x14ac:dyDescent="0.35">
      <c r="B10" s="3" t="s">
        <v>4</v>
      </c>
    </row>
    <row r="12" spans="1:3" x14ac:dyDescent="0.25">
      <c r="C12" s="10">
        <f>AVERAGE(Dataset!D2:D35)</f>
        <v>297.05882352941177</v>
      </c>
    </row>
    <row r="14" spans="1:3" ht="15" x14ac:dyDescent="0.3">
      <c r="A14" s="2" t="s">
        <v>5</v>
      </c>
    </row>
    <row r="15" spans="1:3" ht="15.5" x14ac:dyDescent="0.35">
      <c r="B15" s="3" t="s">
        <v>6</v>
      </c>
    </row>
    <row r="17" spans="1:5" x14ac:dyDescent="0.25">
      <c r="D17">
        <f>MIN(Dataset!D2:D35)</f>
        <v>30</v>
      </c>
    </row>
    <row r="19" spans="1:5" ht="15.5" x14ac:dyDescent="0.35">
      <c r="B19" s="3" t="s">
        <v>7</v>
      </c>
    </row>
    <row r="21" spans="1:5" x14ac:dyDescent="0.25">
      <c r="C21">
        <f>MAX(Dataset!D2:D35)</f>
        <v>1000</v>
      </c>
    </row>
    <row r="23" spans="1:5" ht="15" x14ac:dyDescent="0.3">
      <c r="A23" s="2" t="s">
        <v>8</v>
      </c>
    </row>
    <row r="24" spans="1:5" ht="15.5" x14ac:dyDescent="0.35">
      <c r="B24" s="3" t="s">
        <v>9</v>
      </c>
    </row>
    <row r="26" spans="1:5" x14ac:dyDescent="0.25">
      <c r="C26" s="11" t="s">
        <v>111</v>
      </c>
    </row>
    <row r="29" spans="1:5" ht="15" x14ac:dyDescent="0.3">
      <c r="A29" s="2" t="s">
        <v>10</v>
      </c>
    </row>
    <row r="30" spans="1:5" ht="15.5" x14ac:dyDescent="0.35">
      <c r="B30" s="3" t="s">
        <v>11</v>
      </c>
    </row>
    <row r="32" spans="1:5" x14ac:dyDescent="0.25">
      <c r="E32">
        <f>SUMIF(Dataset!F2:F35,"Electronics",Dataset!D2:D35)</f>
        <v>8050</v>
      </c>
    </row>
    <row r="34" spans="1:5" ht="15.5" x14ac:dyDescent="0.35">
      <c r="B34" s="3" t="s">
        <v>12</v>
      </c>
    </row>
    <row r="36" spans="1:5" x14ac:dyDescent="0.25">
      <c r="E36">
        <f>COUNTIF(Dataset!D2:D35,"&lt;100")</f>
        <v>11</v>
      </c>
    </row>
    <row r="39" spans="1:5" ht="15" x14ac:dyDescent="0.3">
      <c r="A39" s="2" t="s">
        <v>13</v>
      </c>
    </row>
    <row r="40" spans="1:5" ht="15.5" x14ac:dyDescent="0.35">
      <c r="B40" s="3" t="s">
        <v>14</v>
      </c>
    </row>
    <row r="42" spans="1:5" x14ac:dyDescent="0.25">
      <c r="C42" s="12" t="s">
        <v>113</v>
      </c>
    </row>
    <row r="43" spans="1:5" x14ac:dyDescent="0.25">
      <c r="C43" s="12"/>
    </row>
    <row r="45" spans="1:5" ht="15.5" x14ac:dyDescent="0.35">
      <c r="B45" s="3" t="s">
        <v>15</v>
      </c>
    </row>
    <row r="47" spans="1:5" x14ac:dyDescent="0.25">
      <c r="C47" s="12" t="s">
        <v>115</v>
      </c>
    </row>
    <row r="50" spans="2:3" ht="15.5" x14ac:dyDescent="0.35">
      <c r="B50" s="3" t="s">
        <v>16</v>
      </c>
    </row>
    <row r="52" spans="2:3" x14ac:dyDescent="0.25">
      <c r="C52" s="12" t="s">
        <v>116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K7" sqref="K7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10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13" t="s">
        <v>112</v>
      </c>
      <c r="I1" s="13" t="s">
        <v>114</v>
      </c>
      <c r="J1" s="13" t="s">
        <v>117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s="14" t="str">
        <f>LEFT(A2,2)</f>
        <v>28</v>
      </c>
      <c r="I2" s="15" t="str">
        <f>RIGHT(A2,2)</f>
        <v>US</v>
      </c>
      <c r="J2" s="15" t="str">
        <f>MID(A2,4,3)</f>
        <v>JAN</v>
      </c>
    </row>
    <row r="3" spans="1:10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  <c r="H3" s="14" t="str">
        <f t="shared" ref="H3:H35" si="1">LEFT(A3,2)</f>
        <v>15</v>
      </c>
      <c r="I3" s="15" t="str">
        <f t="shared" ref="I3:I35" si="2">RIGHT(A3,2)</f>
        <v>US</v>
      </c>
      <c r="J3" s="15" t="str">
        <f t="shared" ref="J3:J35" si="3">MID(A3,4,3)</f>
        <v>FEB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Standard Price</v>
      </c>
      <c r="H4" s="14" t="str">
        <f t="shared" si="1"/>
        <v>03</v>
      </c>
      <c r="I4" s="15" t="str">
        <f t="shared" si="2"/>
        <v>US</v>
      </c>
      <c r="J4" s="15" t="str">
        <f t="shared" si="3"/>
        <v>MAR</v>
      </c>
    </row>
    <row r="5" spans="1:10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14" t="str">
        <f t="shared" si="1"/>
        <v>11</v>
      </c>
      <c r="I5" s="15" t="str">
        <f t="shared" si="2"/>
        <v>US</v>
      </c>
      <c r="J5" s="15" t="str">
        <f t="shared" si="3"/>
        <v>APR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Standard Price</v>
      </c>
      <c r="H6" s="14" t="str">
        <f t="shared" si="1"/>
        <v>22</v>
      </c>
      <c r="I6" s="15" t="str">
        <f t="shared" si="2"/>
        <v>US</v>
      </c>
      <c r="J6" s="15" t="str">
        <f t="shared" si="3"/>
        <v>MAY</v>
      </c>
    </row>
    <row r="7" spans="1:10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14" t="str">
        <f t="shared" si="1"/>
        <v>07</v>
      </c>
      <c r="I7" s="15" t="str">
        <f t="shared" si="2"/>
        <v>UK</v>
      </c>
      <c r="J7" s="15" t="str">
        <f t="shared" si="3"/>
        <v>JUN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0"/>
        <v>Standard Price</v>
      </c>
      <c r="H8" s="14" t="str">
        <f t="shared" si="1"/>
        <v>19</v>
      </c>
      <c r="I8" s="15" t="str">
        <f t="shared" si="2"/>
        <v>UK</v>
      </c>
      <c r="J8" s="15" t="str">
        <f t="shared" si="3"/>
        <v>JUL</v>
      </c>
    </row>
    <row r="9" spans="1:10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s="14" t="str">
        <f t="shared" si="1"/>
        <v>23</v>
      </c>
      <c r="I9" s="15" t="str">
        <f t="shared" si="2"/>
        <v>UK</v>
      </c>
      <c r="J9" s="15" t="str">
        <f t="shared" si="3"/>
        <v>AUG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s="14" t="str">
        <f t="shared" si="1"/>
        <v>05</v>
      </c>
      <c r="I10" s="15" t="str">
        <f t="shared" si="2"/>
        <v>UK</v>
      </c>
      <c r="J10" s="15" t="str">
        <f t="shared" si="3"/>
        <v>SEP</v>
      </c>
    </row>
    <row r="11" spans="1:10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s="14" t="str">
        <f t="shared" si="1"/>
        <v>14</v>
      </c>
      <c r="I11" s="15" t="str">
        <f t="shared" si="2"/>
        <v>UK</v>
      </c>
      <c r="J11" s="15" t="str">
        <f t="shared" si="3"/>
        <v>OCT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s="14" t="str">
        <f t="shared" si="1"/>
        <v>17</v>
      </c>
      <c r="I12" s="15" t="str">
        <f t="shared" si="2"/>
        <v>IN</v>
      </c>
      <c r="J12" s="15" t="str">
        <f t="shared" si="3"/>
        <v>JUN</v>
      </c>
    </row>
    <row r="13" spans="1:10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14" t="str">
        <f t="shared" si="1"/>
        <v>25</v>
      </c>
      <c r="I13" s="15" t="str">
        <f t="shared" si="2"/>
        <v>AU</v>
      </c>
      <c r="J13" s="15" t="str">
        <f t="shared" si="3"/>
        <v>NOV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0"/>
        <v>Standard Price</v>
      </c>
      <c r="H14" s="14" t="str">
        <f t="shared" si="1"/>
        <v>08</v>
      </c>
      <c r="I14" s="15" t="str">
        <f t="shared" si="2"/>
        <v>DE</v>
      </c>
      <c r="J14" s="15" t="str">
        <f t="shared" si="3"/>
        <v>DEC</v>
      </c>
    </row>
    <row r="15" spans="1:10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s="14" t="str">
        <f t="shared" si="1"/>
        <v>18</v>
      </c>
      <c r="I15" s="15" t="str">
        <f t="shared" si="2"/>
        <v>CA</v>
      </c>
      <c r="J15" s="15" t="str">
        <f t="shared" si="3"/>
        <v>FEB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s="14" t="str">
        <f t="shared" si="1"/>
        <v>16</v>
      </c>
      <c r="I16" s="15" t="str">
        <f t="shared" si="2"/>
        <v>ES</v>
      </c>
      <c r="J16" s="15" t="str">
        <f t="shared" si="3"/>
        <v>APR</v>
      </c>
    </row>
    <row r="17" spans="1:10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s="14" t="str">
        <f t="shared" si="1"/>
        <v>21</v>
      </c>
      <c r="I17" s="15" t="str">
        <f t="shared" si="2"/>
        <v>CA</v>
      </c>
      <c r="J17" s="15" t="str">
        <f t="shared" si="3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0"/>
        <v>Standard Price</v>
      </c>
      <c r="H18" s="14" t="str">
        <f t="shared" si="1"/>
        <v>20</v>
      </c>
      <c r="I18" s="15" t="str">
        <f t="shared" si="2"/>
        <v>CN</v>
      </c>
      <c r="J18" s="15" t="str">
        <f t="shared" si="3"/>
        <v>AUG</v>
      </c>
    </row>
    <row r="19" spans="1:10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14" t="str">
        <f t="shared" si="1"/>
        <v>27</v>
      </c>
      <c r="I19" s="15" t="str">
        <f t="shared" si="2"/>
        <v>IT</v>
      </c>
      <c r="J19" s="15" t="str">
        <f t="shared" si="3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0"/>
        <v>Standard Price</v>
      </c>
      <c r="H20" s="14" t="str">
        <f t="shared" si="1"/>
        <v>01</v>
      </c>
      <c r="I20" s="15" t="str">
        <f t="shared" si="2"/>
        <v>UK</v>
      </c>
      <c r="J20" s="15" t="str">
        <f t="shared" si="3"/>
        <v>MAR</v>
      </c>
    </row>
    <row r="21" spans="1:10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s="14" t="str">
        <f t="shared" si="1"/>
        <v>14</v>
      </c>
      <c r="I21" s="15" t="str">
        <f t="shared" si="2"/>
        <v>US</v>
      </c>
      <c r="J21" s="15" t="str">
        <f t="shared" si="3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s="14" t="str">
        <f t="shared" si="1"/>
        <v>14</v>
      </c>
      <c r="I22" s="15" t="str">
        <f t="shared" si="2"/>
        <v>RU</v>
      </c>
      <c r="J22" s="15" t="str">
        <f t="shared" si="3"/>
        <v>MAY</v>
      </c>
    </row>
    <row r="23" spans="1:10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s="14" t="str">
        <f t="shared" si="1"/>
        <v>09</v>
      </c>
      <c r="I23" s="15" t="str">
        <f t="shared" si="2"/>
        <v>CA</v>
      </c>
      <c r="J23" s="15" t="str">
        <f t="shared" si="3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0"/>
        <v>Standard Price</v>
      </c>
      <c r="H24" s="14" t="str">
        <f t="shared" si="1"/>
        <v>19</v>
      </c>
      <c r="I24" s="15" t="str">
        <f t="shared" si="2"/>
        <v>BR</v>
      </c>
      <c r="J24" s="15" t="str">
        <f t="shared" si="3"/>
        <v>JUL</v>
      </c>
    </row>
    <row r="25" spans="1:10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14" t="str">
        <f t="shared" si="1"/>
        <v>21</v>
      </c>
      <c r="I25" s="15" t="str">
        <f t="shared" si="2"/>
        <v>CA</v>
      </c>
      <c r="J25" s="15" t="str">
        <f t="shared" si="3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s="14" t="str">
        <f t="shared" si="1"/>
        <v>29</v>
      </c>
      <c r="I26" s="15" t="str">
        <f t="shared" si="2"/>
        <v>CA</v>
      </c>
      <c r="J26" s="15" t="str">
        <f t="shared" si="3"/>
        <v>SEP</v>
      </c>
    </row>
    <row r="27" spans="1:10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s="14" t="str">
        <f t="shared" si="1"/>
        <v>03</v>
      </c>
      <c r="I27" s="15" t="str">
        <f t="shared" si="2"/>
        <v>CA</v>
      </c>
      <c r="J27" s="15" t="str">
        <f t="shared" si="3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0"/>
        <v>Standard Price</v>
      </c>
      <c r="H28" s="14" t="str">
        <f t="shared" si="1"/>
        <v>11</v>
      </c>
      <c r="I28" s="15" t="str">
        <f t="shared" si="2"/>
        <v>CA</v>
      </c>
      <c r="J28" s="15" t="str">
        <f t="shared" si="3"/>
        <v>JUL</v>
      </c>
    </row>
    <row r="29" spans="1:10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s="14" t="str">
        <f t="shared" si="1"/>
        <v>16</v>
      </c>
      <c r="I29" s="15" t="str">
        <f t="shared" si="2"/>
        <v>ES</v>
      </c>
      <c r="J29" s="15" t="str">
        <f t="shared" si="3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0"/>
        <v>Standard Price</v>
      </c>
      <c r="H30" s="14" t="str">
        <f t="shared" si="1"/>
        <v>07</v>
      </c>
      <c r="I30" s="15" t="str">
        <f t="shared" si="2"/>
        <v>CA</v>
      </c>
      <c r="J30" s="15" t="str">
        <f t="shared" si="3"/>
        <v>MAR</v>
      </c>
    </row>
    <row r="31" spans="1:10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14" t="str">
        <f t="shared" si="1"/>
        <v>13</v>
      </c>
      <c r="I31" s="15" t="str">
        <f t="shared" si="2"/>
        <v>CA</v>
      </c>
      <c r="J31" s="15" t="str">
        <f t="shared" si="3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0"/>
        <v>Standard Price</v>
      </c>
      <c r="H32" s="14" t="str">
        <f t="shared" si="1"/>
        <v>24</v>
      </c>
      <c r="I32" s="15" t="str">
        <f t="shared" si="2"/>
        <v>CA</v>
      </c>
      <c r="J32" s="15" t="str">
        <f t="shared" si="3"/>
        <v>MAY</v>
      </c>
    </row>
    <row r="33" spans="1:10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s="14" t="str">
        <f t="shared" si="1"/>
        <v>02</v>
      </c>
      <c r="I33" s="15" t="str">
        <f t="shared" si="2"/>
        <v>CA</v>
      </c>
      <c r="J33" s="15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s="14" t="str">
        <f t="shared" si="1"/>
        <v>17</v>
      </c>
      <c r="I34" s="15" t="str">
        <f t="shared" si="2"/>
        <v>IN</v>
      </c>
      <c r="J34" s="15" t="str">
        <f t="shared" si="3"/>
        <v>JUN</v>
      </c>
    </row>
    <row r="35" spans="1:10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s="14" t="str">
        <f t="shared" si="1"/>
        <v>09</v>
      </c>
      <c r="I35" s="15" t="str">
        <f t="shared" si="2"/>
        <v>FR</v>
      </c>
      <c r="J35" s="15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Assignment Answers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Naraparaju. Naga Sai Murali</cp:lastModifiedBy>
  <dcterms:modified xsi:type="dcterms:W3CDTF">2026-09-11T06:20:33Z</dcterms:modified>
</cp:coreProperties>
</file>