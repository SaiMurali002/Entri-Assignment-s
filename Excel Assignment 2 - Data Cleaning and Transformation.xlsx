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t\Entri\Excel\Assignment's\"/>
    </mc:Choice>
  </mc:AlternateContent>
  <xr:revisionPtr revIDLastSave="0" documentId="13_ncr:1_{17CCA9B1-8424-45CE-B40E-323F2C1CD4B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Assignment 2 Answers" sheetId="3" r:id="rId2"/>
    <sheet name="Dataset" sheetId="2" r:id="rId3"/>
  </sheets>
  <definedNames>
    <definedName name="_xlnm._FilterDatabase" localSheetId="1" hidden="1">'Assignment 2 Answers'!$A$1:$G$35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44" i="3" l="1"/>
  <c r="B234" i="3"/>
  <c r="B233" i="3"/>
  <c r="B226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2" i="3"/>
  <c r="I2" i="3" a="1"/>
  <c r="I2" i="3" s="1"/>
  <c r="M6" i="3"/>
  <c r="M24" i="3"/>
  <c r="M14" i="3"/>
  <c r="M13" i="3"/>
  <c r="F51" i="3"/>
  <c r="F4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<sst xmlns="http://schemas.openxmlformats.org/spreadsheetml/2006/main" count="494" uniqueCount="150">
  <si>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</si>
  <si>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</si>
  <si>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</si>
  <si>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</si>
  <si>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</si>
  <si>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</si>
  <si>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</si>
  <si>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</si>
  <si>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</si>
  <si>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</si>
  <si>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</si>
  <si>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</si>
  <si>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</si>
  <si>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</si>
  <si>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</si>
  <si>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</si>
  <si>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</si>
  <si>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</si>
  <si>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</si>
  <si>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</si>
  <si>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</si>
  <si>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</si>
  <si>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</si>
  <si>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</si>
  <si>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</si>
  <si>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</si>
  <si>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</si>
  <si>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</si>
  <si>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</si>
  <si>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</si>
  <si>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</si>
  <si>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</si>
  <si>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</si>
  <si>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</si>
  <si>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</si>
  <si>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</si>
  <si>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</si>
  <si>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</si>
  <si>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</si>
  <si>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</si>
  <si>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</si>
  <si>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</si>
  <si>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</si>
  <si>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</si>
  <si>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</si>
  <si>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</si>
  <si>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</si>
  <si>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</si>
  <si>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</si>
  <si>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</si>
  <si>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</si>
  <si>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</si>
  <si>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</si>
  <si>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</si>
  <si>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</si>
  <si>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</si>
  <si>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</si>
  <si>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</si>
  <si>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</si>
  <si>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</si>
  <si>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</si>
  <si>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</si>
  <si>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</si>
  <si>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</si>
  <si>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</si>
  <si>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</si>
  <si>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</si>
  <si>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</si>
  <si>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</si>
  <si>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</si>
  <si>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</si>
  <si>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</si>
  <si>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</si>
  <si>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</si>
  <si>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</si>
  <si>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</si>
  <si>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</si>
  <si>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</si>
  <si>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</si>
  <si>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</si>
  <si>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</si>
  <si>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</si>
  <si>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</si>
  <si>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</si>
  <si>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</si>
  <si>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</si>
  <si>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</si>
  <si>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</si>
  <si>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</si>
  <si>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</si>
  <si>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</si>
  <si>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</si>
  <si>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</si>
  <si>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</si>
  <si>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</si>
  <si>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</si>
  <si>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</si>
  <si>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</si>
  <si>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</si>
  <si>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</si>
  <si>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</si>
  <si>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</si>
  <si>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</si>
  <si>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</si>
  <si>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</si>
  <si>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</si>
  <si>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</si>
  <si>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</si>
  <si>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</si>
  <si>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</si>
  <si>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</si>
  <si>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</si>
  <si>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</si>
  <si>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</si>
  <si>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</si>
  <si>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</si>
  <si>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 in the 'Price' column</t>
  </si>
  <si>
    <t>missing categories</t>
  </si>
  <si>
    <t>Cleaned Product Name</t>
  </si>
  <si>
    <t>Corrected data in Colum H</t>
  </si>
  <si>
    <t>corrected Product ID</t>
  </si>
  <si>
    <r>
      <t xml:space="preserve">In Category column we have identified </t>
    </r>
    <r>
      <rPr>
        <b/>
        <sz val="10"/>
        <color rgb="FF000000"/>
        <rFont val="Arial"/>
        <family val="2"/>
        <scheme val="minor"/>
      </rPr>
      <t>Electroni typo &amp;  Replaced with Electronics.</t>
    </r>
    <r>
      <rPr>
        <sz val="10"/>
        <color rgb="FF000000"/>
        <rFont val="Arial"/>
        <family val="2"/>
        <scheme val="minor"/>
      </rPr>
      <t xml:space="preserve"> In F column</t>
    </r>
  </si>
  <si>
    <t>Identified the Duplicates in Product Id column A using Conditional Formatting</t>
  </si>
  <si>
    <t xml:space="preserve"> Duplicates in Product Id column J using remove duplicates icon in Data Tools </t>
  </si>
  <si>
    <t>Firstly I have filtered the blanks in category column and identified the product's (Backpack, Sneakers, coffee maker, Fitness Tracker) in product name column. applied filter to pa</t>
  </si>
  <si>
    <t>Next I filtered the product name column by using the identified product's (Backpack, Sneakers, coffee maker, Fitness Tracker).</t>
  </si>
  <si>
    <t>For (Sneakers, coffee maker, Fitness Tracker) are having multipule product's with different brand, so catagories are also same. but only for backpack is having one product i choosed laptop bag is similar product near to back pack, so i found they both are same categorie</t>
  </si>
  <si>
    <t>Manufacturing Date</t>
  </si>
  <si>
    <t>Country Code</t>
  </si>
  <si>
    <t>Cleaned category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</si>
  <si>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</si>
  <si>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</si>
  <si>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</si>
  <si>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</si>
  <si>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</si>
  <si>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</si>
  <si>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</si>
  <si>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</si>
  <si>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</si>
  <si>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</si>
  <si>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</si>
  <si>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</si>
  <si>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r>
      <t xml:space="preserve">I have splited the Product Id column using </t>
    </r>
    <r>
      <rPr>
        <b/>
        <sz val="10"/>
        <color rgb="FF000000"/>
        <rFont val="Arial"/>
        <family val="2"/>
        <scheme val="minor"/>
      </rPr>
      <t xml:space="preserve">Text to column </t>
    </r>
    <r>
      <rPr>
        <sz val="10"/>
        <color rgb="FF000000"/>
        <rFont val="Arial"/>
        <family val="2"/>
        <scheme val="minor"/>
      </rPr>
      <t>in Data Tool box. Manufacturing Date is in column N and Country Code in column P</t>
    </r>
  </si>
  <si>
    <t>Product Brand</t>
  </si>
  <si>
    <t>T-Shirt</t>
  </si>
  <si>
    <r>
      <t xml:space="preserve">Merged two columns using =Colum1&amp; "-"&amp;cColum2. </t>
    </r>
    <r>
      <rPr>
        <b/>
        <sz val="10"/>
        <color rgb="FF000000"/>
        <rFont val="Arial"/>
        <family val="2"/>
        <scheme val="minor"/>
      </rPr>
      <t>in column S</t>
    </r>
  </si>
  <si>
    <t xml:space="preserve">DD-MM-YYYY </t>
  </si>
  <si>
    <t>We have used find and replace function in previous questions and completed the "Product Name" and "Category" fixing</t>
  </si>
  <si>
    <t xml:space="preserve">We should keep the blank price cells as it is. Because comparing with similar product we can identify but the brand value is differ it effect's on pricing. </t>
  </si>
  <si>
    <t>Especially for Camping tent product is unique and there are no similar product to fix the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</si>
</sst>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.0_ ;_-[$$-409]* \-#,##0.0\ ;_-[$$-409]* &quot;-&quot;??_ ;_-@_ 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/>
    <xf numFmtId="0" fontId="9" fillId="0" borderId="0" xfId="0" applyFont="1"/>
    <xf numFmtId="0" fontId="10" fillId="0" borderId="0" xfId="0" applyFont="1" applyAlignment="1"/>
    <xf numFmtId="0" fontId="11" fillId="2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/>
    <xf numFmtId="16" fontId="0" fillId="0" borderId="0" xfId="0" applyNumberFormat="1" applyFont="1" applyAlignment="1"/>
    <xf numFmtId="166" fontId="7" fillId="2" borderId="0" xfId="0" applyNumberFormat="1" applyFont="1" applyFill="1" applyAlignment="1">
      <alignment horizontal="center"/>
    </xf>
    <xf numFmtId="166" fontId="5" fillId="0" borderId="0" xfId="0" applyNumberFormat="1" applyFont="1"/>
    <xf numFmtId="166" fontId="5" fillId="3" borderId="0" xfId="0" applyNumberFormat="1" applyFont="1" applyFill="1"/>
    <xf numFmtId="14" fontId="0" fillId="0" borderId="0" xfId="0" applyNumberFormat="1" applyFont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5" fillId="0" borderId="0" xfId="0" applyFont="1" applyFill="1"/>
    <xf numFmtId="0" fontId="12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6" workbookViewId="0">
      <selection activeCell="C25" sqref="C2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3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C783-B44C-41E6-8D36-3BBE7DF80451}">
  <dimension ref="A1:U255"/>
  <sheetViews>
    <sheetView tabSelected="1" topLeftCell="A31" workbookViewId="0">
      <selection activeCell="J41" sqref="J41"/>
    </sheetView>
  </sheetViews>
  <sheetFormatPr defaultRowHeight="12.5" x14ac:dyDescent="0.25"/>
  <cols>
    <col min="1" max="1" width="10.54296875" bestFit="1" customWidth="1"/>
    <col min="2" max="2" width="13.36328125" bestFit="1" customWidth="1"/>
    <col min="3" max="3" width="25.1796875" bestFit="1" customWidth="1"/>
    <col min="4" max="4" width="11.36328125" bestFit="1" customWidth="1"/>
    <col min="5" max="5" width="12.54296875" bestFit="1" customWidth="1"/>
    <col min="6" max="6" width="12.7265625" bestFit="1" customWidth="1"/>
    <col min="7" max="7" width="10.54296875" bestFit="1" customWidth="1"/>
    <col min="9" max="9" width="20.6328125" bestFit="1" customWidth="1"/>
    <col min="11" max="11" width="18.90625" bestFit="1" customWidth="1"/>
    <col min="13" max="13" width="15.90625" bestFit="1" customWidth="1"/>
    <col min="15" max="15" width="17.90625" bestFit="1" customWidth="1"/>
    <col min="17" max="17" width="12.7265625" bestFit="1" customWidth="1"/>
    <col min="19" max="19" width="21.26953125" bestFit="1" customWidth="1"/>
    <col min="21" max="21" width="13.90625" bestFit="1" customWidth="1"/>
  </cols>
  <sheetData>
    <row r="1" spans="1:21" ht="13" x14ac:dyDescent="0.3">
      <c r="A1" s="9" t="s">
        <v>19</v>
      </c>
      <c r="B1" s="9" t="s">
        <v>20</v>
      </c>
      <c r="C1" s="9" t="s">
        <v>118</v>
      </c>
      <c r="D1" s="9" t="s">
        <v>21</v>
      </c>
      <c r="E1" s="9" t="s">
        <v>22</v>
      </c>
      <c r="F1" s="9" t="s">
        <v>23</v>
      </c>
      <c r="G1" s="9" t="s">
        <v>24</v>
      </c>
      <c r="I1" s="15" t="s">
        <v>118</v>
      </c>
      <c r="K1" s="15" t="s">
        <v>120</v>
      </c>
      <c r="M1" s="15" t="s">
        <v>129</v>
      </c>
      <c r="O1" s="15" t="s">
        <v>127</v>
      </c>
      <c r="Q1" s="15" t="s">
        <v>128</v>
      </c>
      <c r="S1" s="15" t="s">
        <v>143</v>
      </c>
      <c r="U1" s="23"/>
    </row>
    <row r="2" spans="1:21" x14ac:dyDescent="0.25">
      <c r="A2" s="10" t="s">
        <v>25</v>
      </c>
      <c r="B2" s="10" t="s">
        <v>26</v>
      </c>
      <c r="C2" s="10" t="s">
        <v>61</v>
      </c>
      <c r="D2" s="10" t="s">
        <v>27</v>
      </c>
      <c r="E2" s="10">
        <v>1000</v>
      </c>
      <c r="F2" s="10">
        <v>30</v>
      </c>
      <c r="G2" s="10" t="s">
        <v>28</v>
      </c>
      <c r="I2" t="str" cm="1">
        <f t="array" ref="I2:I35">TRIM(PROPER(B2:B35))</f>
        <v>Laptop</v>
      </c>
      <c r="K2" s="10" t="s">
        <v>25</v>
      </c>
      <c r="M2" s="10" t="s">
        <v>28</v>
      </c>
      <c r="O2" s="18">
        <v>46050</v>
      </c>
      <c r="Q2" t="s">
        <v>130</v>
      </c>
      <c r="S2" s="14" t="str">
        <f>C2&amp;"-"&amp;D2</f>
        <v>Laptop-Dell</v>
      </c>
      <c r="U2" s="24"/>
    </row>
    <row r="3" spans="1:21" x14ac:dyDescent="0.25">
      <c r="A3" s="11" t="s">
        <v>29</v>
      </c>
      <c r="B3" s="11" t="s">
        <v>30</v>
      </c>
      <c r="C3" s="11" t="s">
        <v>30</v>
      </c>
      <c r="D3" s="11" t="s">
        <v>31</v>
      </c>
      <c r="E3" s="11">
        <v>80</v>
      </c>
      <c r="F3" s="11">
        <v>15</v>
      </c>
      <c r="G3" s="11" t="s">
        <v>32</v>
      </c>
      <c r="I3" t="str">
        <v>Sneakers</v>
      </c>
      <c r="K3" s="11" t="s">
        <v>29</v>
      </c>
      <c r="M3" s="11" t="s">
        <v>32</v>
      </c>
      <c r="O3" s="18">
        <v>46068</v>
      </c>
      <c r="Q3" t="s">
        <v>130</v>
      </c>
      <c r="S3" s="14" t="str">
        <f t="shared" ref="S3:S35" si="0">C3&amp;"-"&amp;D3</f>
        <v>Sneakers-Nike</v>
      </c>
      <c r="U3" s="24"/>
    </row>
    <row r="4" spans="1:21" x14ac:dyDescent="0.25">
      <c r="A4" s="10" t="s">
        <v>33</v>
      </c>
      <c r="B4" s="10" t="s">
        <v>34</v>
      </c>
      <c r="C4" s="10" t="s">
        <v>34</v>
      </c>
      <c r="D4" s="10" t="s">
        <v>35</v>
      </c>
      <c r="E4" s="10">
        <v>130</v>
      </c>
      <c r="F4" s="10">
        <v>40</v>
      </c>
      <c r="G4" s="10" t="s">
        <v>36</v>
      </c>
      <c r="I4" t="str">
        <v>Coffee Maker</v>
      </c>
      <c r="K4" s="10" t="s">
        <v>33</v>
      </c>
      <c r="M4" s="10" t="s">
        <v>36</v>
      </c>
      <c r="O4" s="18">
        <v>46084</v>
      </c>
      <c r="Q4" t="s">
        <v>130</v>
      </c>
      <c r="S4" s="14" t="str">
        <f t="shared" si="0"/>
        <v>Coffee Maker-Keurig</v>
      </c>
      <c r="U4" s="24"/>
    </row>
    <row r="5" spans="1:21" x14ac:dyDescent="0.25">
      <c r="A5" s="11" t="s">
        <v>37</v>
      </c>
      <c r="B5" s="11" t="s">
        <v>38</v>
      </c>
      <c r="C5" s="11" t="s">
        <v>96</v>
      </c>
      <c r="D5" s="11" t="s">
        <v>39</v>
      </c>
      <c r="E5" s="11">
        <v>900</v>
      </c>
      <c r="F5" s="11">
        <v>25</v>
      </c>
      <c r="G5" s="11" t="s">
        <v>28</v>
      </c>
      <c r="I5" t="str">
        <v>Smartphone</v>
      </c>
      <c r="K5" s="11" t="s">
        <v>37</v>
      </c>
      <c r="M5" s="11" t="s">
        <v>28</v>
      </c>
      <c r="O5" s="18">
        <v>46123</v>
      </c>
      <c r="Q5" t="s">
        <v>130</v>
      </c>
      <c r="S5" s="14" t="str">
        <f t="shared" si="0"/>
        <v>Smartphone-Samsung</v>
      </c>
      <c r="U5" s="24"/>
    </row>
    <row r="6" spans="1:21" x14ac:dyDescent="0.25">
      <c r="A6" s="10" t="s">
        <v>40</v>
      </c>
      <c r="B6" s="10" t="s">
        <v>41</v>
      </c>
      <c r="C6" s="10" t="s">
        <v>41</v>
      </c>
      <c r="D6" s="10" t="s">
        <v>42</v>
      </c>
      <c r="E6" s="10">
        <v>70</v>
      </c>
      <c r="F6" s="10">
        <v>20</v>
      </c>
      <c r="G6" s="10"/>
      <c r="I6" t="str">
        <v>Backpack</v>
      </c>
      <c r="K6" s="10" t="s">
        <v>40</v>
      </c>
      <c r="M6" s="10" t="str">
        <f>M17</f>
        <v>Accessories</v>
      </c>
      <c r="O6" s="18">
        <v>46164</v>
      </c>
      <c r="Q6" t="s">
        <v>130</v>
      </c>
      <c r="S6" s="14" t="str">
        <f t="shared" si="0"/>
        <v>Backpack-North Face</v>
      </c>
      <c r="U6" s="24"/>
    </row>
    <row r="7" spans="1:21" x14ac:dyDescent="0.25">
      <c r="A7" s="11" t="s">
        <v>43</v>
      </c>
      <c r="B7" s="11" t="s">
        <v>44</v>
      </c>
      <c r="C7" s="11" t="s">
        <v>44</v>
      </c>
      <c r="D7" s="11" t="s">
        <v>45</v>
      </c>
      <c r="E7" s="11"/>
      <c r="F7" s="11">
        <v>45</v>
      </c>
      <c r="G7" s="11" t="s">
        <v>28</v>
      </c>
      <c r="I7" t="str">
        <v>Headphones</v>
      </c>
      <c r="K7" s="11" t="s">
        <v>43</v>
      </c>
      <c r="M7" s="11" t="s">
        <v>28</v>
      </c>
      <c r="O7" s="18">
        <v>46180</v>
      </c>
      <c r="Q7" t="s">
        <v>131</v>
      </c>
      <c r="S7" s="14" t="str">
        <f t="shared" si="0"/>
        <v>Headphones-Sony</v>
      </c>
      <c r="U7" s="24"/>
    </row>
    <row r="8" spans="1:21" x14ac:dyDescent="0.25">
      <c r="A8" s="10" t="s">
        <v>47</v>
      </c>
      <c r="B8" s="10" t="s">
        <v>48</v>
      </c>
      <c r="C8" s="10" t="s">
        <v>144</v>
      </c>
      <c r="D8" s="10" t="s">
        <v>49</v>
      </c>
      <c r="E8" s="10">
        <v>30</v>
      </c>
      <c r="F8" s="10">
        <v>5</v>
      </c>
      <c r="G8" s="10" t="s">
        <v>32</v>
      </c>
      <c r="I8" t="str">
        <v>T-Shirt</v>
      </c>
      <c r="K8" s="10" t="s">
        <v>47</v>
      </c>
      <c r="M8" s="10" t="s">
        <v>32</v>
      </c>
      <c r="O8" s="18">
        <v>46222</v>
      </c>
      <c r="Q8" t="s">
        <v>131</v>
      </c>
      <c r="S8" s="14" t="str">
        <f t="shared" si="0"/>
        <v>T-Shirt-Adidas</v>
      </c>
      <c r="U8" s="24"/>
    </row>
    <row r="9" spans="1:21" x14ac:dyDescent="0.25">
      <c r="A9" s="11" t="s">
        <v>50</v>
      </c>
      <c r="B9" s="11" t="s">
        <v>51</v>
      </c>
      <c r="C9" s="11" t="s">
        <v>51</v>
      </c>
      <c r="D9" s="11" t="s">
        <v>52</v>
      </c>
      <c r="E9" s="11">
        <v>90</v>
      </c>
      <c r="F9" s="11">
        <v>35</v>
      </c>
      <c r="G9" s="11" t="s">
        <v>36</v>
      </c>
      <c r="I9" t="str">
        <v>Blender</v>
      </c>
      <c r="K9" s="11" t="s">
        <v>50</v>
      </c>
      <c r="M9" s="11" t="s">
        <v>36</v>
      </c>
      <c r="O9" s="18">
        <v>46257</v>
      </c>
      <c r="Q9" t="s">
        <v>131</v>
      </c>
      <c r="S9" s="14" t="str">
        <f t="shared" si="0"/>
        <v>Blender-Ninja</v>
      </c>
      <c r="U9" s="24"/>
    </row>
    <row r="10" spans="1:21" x14ac:dyDescent="0.25">
      <c r="A10" s="10" t="s">
        <v>53</v>
      </c>
      <c r="B10" s="10" t="s">
        <v>54</v>
      </c>
      <c r="C10" s="10" t="s">
        <v>54</v>
      </c>
      <c r="D10" s="10" t="s">
        <v>55</v>
      </c>
      <c r="E10" s="10">
        <v>500</v>
      </c>
      <c r="F10" s="10">
        <v>50</v>
      </c>
      <c r="G10" s="10" t="s">
        <v>28</v>
      </c>
      <c r="I10" t="str">
        <v>Tablet</v>
      </c>
      <c r="K10" s="10" t="s">
        <v>53</v>
      </c>
      <c r="M10" s="10" t="s">
        <v>28</v>
      </c>
      <c r="O10" s="18">
        <v>46270</v>
      </c>
      <c r="Q10" t="s">
        <v>131</v>
      </c>
      <c r="S10" s="14" t="str">
        <f t="shared" si="0"/>
        <v>Tablet-Apple</v>
      </c>
      <c r="U10" s="24"/>
    </row>
    <row r="11" spans="1:21" x14ac:dyDescent="0.25">
      <c r="A11" s="11" t="s">
        <v>56</v>
      </c>
      <c r="B11" s="11" t="s">
        <v>57</v>
      </c>
      <c r="C11" s="11" t="s">
        <v>57</v>
      </c>
      <c r="D11" s="11" t="s">
        <v>58</v>
      </c>
      <c r="E11" s="11">
        <v>130</v>
      </c>
      <c r="F11" s="11">
        <v>10</v>
      </c>
      <c r="G11" s="11" t="s">
        <v>59</v>
      </c>
      <c r="I11" t="str">
        <v>Hiking Boots</v>
      </c>
      <c r="K11" s="11" t="s">
        <v>56</v>
      </c>
      <c r="M11" s="11" t="s">
        <v>59</v>
      </c>
      <c r="O11" s="18">
        <v>46309</v>
      </c>
      <c r="Q11" t="s">
        <v>131</v>
      </c>
      <c r="S11" s="14" t="str">
        <f t="shared" si="0"/>
        <v>Hiking Boots-Timberland</v>
      </c>
      <c r="U11" s="24"/>
    </row>
    <row r="12" spans="1:21" x14ac:dyDescent="0.25">
      <c r="A12" s="10" t="s">
        <v>60</v>
      </c>
      <c r="B12" s="10" t="s">
        <v>61</v>
      </c>
      <c r="C12" s="10" t="s">
        <v>61</v>
      </c>
      <c r="D12" s="10" t="s">
        <v>62</v>
      </c>
      <c r="E12" s="10">
        <v>950</v>
      </c>
      <c r="F12" s="10">
        <v>25</v>
      </c>
      <c r="G12" s="10" t="s">
        <v>28</v>
      </c>
      <c r="I12" t="str">
        <v>Laptop</v>
      </c>
      <c r="K12" s="10" t="s">
        <v>60</v>
      </c>
      <c r="M12" s="10" t="s">
        <v>28</v>
      </c>
      <c r="O12" s="18">
        <v>46190</v>
      </c>
      <c r="Q12" t="s">
        <v>132</v>
      </c>
      <c r="S12" s="14" t="str">
        <f t="shared" si="0"/>
        <v>Laptop-HP</v>
      </c>
      <c r="U12" s="24"/>
    </row>
    <row r="13" spans="1:21" x14ac:dyDescent="0.25">
      <c r="A13" s="11" t="s">
        <v>63</v>
      </c>
      <c r="B13" s="11" t="s">
        <v>30</v>
      </c>
      <c r="C13" s="11" t="s">
        <v>30</v>
      </c>
      <c r="D13" s="11" t="s">
        <v>49</v>
      </c>
      <c r="E13" s="11">
        <v>90</v>
      </c>
      <c r="F13" s="11">
        <v>40</v>
      </c>
      <c r="G13" s="11"/>
      <c r="I13" t="str">
        <v>Sneakers</v>
      </c>
      <c r="K13" s="11" t="s">
        <v>63</v>
      </c>
      <c r="M13" s="11" t="str">
        <f>M3</f>
        <v>Fashion</v>
      </c>
      <c r="O13" s="18">
        <v>46351</v>
      </c>
      <c r="Q13" t="s">
        <v>133</v>
      </c>
      <c r="S13" s="14" t="str">
        <f t="shared" si="0"/>
        <v>Sneakers-Adidas</v>
      </c>
      <c r="U13" s="24"/>
    </row>
    <row r="14" spans="1:21" x14ac:dyDescent="0.25">
      <c r="A14" s="10" t="s">
        <v>64</v>
      </c>
      <c r="B14" s="10" t="s">
        <v>34</v>
      </c>
      <c r="C14" s="10" t="s">
        <v>34</v>
      </c>
      <c r="D14" s="10" t="s">
        <v>65</v>
      </c>
      <c r="E14" s="10">
        <v>120</v>
      </c>
      <c r="F14" s="10">
        <v>35</v>
      </c>
      <c r="G14" s="10"/>
      <c r="I14" t="str">
        <v>Coffee Maker</v>
      </c>
      <c r="K14" s="10" t="s">
        <v>64</v>
      </c>
      <c r="M14" s="10" t="str">
        <f>M4</f>
        <v>Kitchen</v>
      </c>
      <c r="O14" s="18">
        <v>46364</v>
      </c>
      <c r="Q14" t="s">
        <v>134</v>
      </c>
      <c r="S14" s="14" t="str">
        <f t="shared" si="0"/>
        <v>Coffee Maker-Nespresso</v>
      </c>
      <c r="U14" s="24"/>
    </row>
    <row r="15" spans="1:21" x14ac:dyDescent="0.25">
      <c r="A15" s="11" t="s">
        <v>66</v>
      </c>
      <c r="B15" s="11" t="s">
        <v>67</v>
      </c>
      <c r="C15" s="11" t="s">
        <v>67</v>
      </c>
      <c r="D15" s="11" t="s">
        <v>68</v>
      </c>
      <c r="E15" s="11">
        <v>150</v>
      </c>
      <c r="F15" s="11">
        <v>15</v>
      </c>
      <c r="G15" s="11" t="s">
        <v>28</v>
      </c>
      <c r="I15" t="str">
        <v>Smartwatch</v>
      </c>
      <c r="K15" s="11" t="s">
        <v>66</v>
      </c>
      <c r="M15" s="11" t="s">
        <v>28</v>
      </c>
      <c r="O15" s="18">
        <v>46071</v>
      </c>
      <c r="Q15" t="s">
        <v>135</v>
      </c>
      <c r="S15" s="14" t="str">
        <f t="shared" si="0"/>
        <v>Smartwatch-Fitbit</v>
      </c>
      <c r="U15" s="24"/>
    </row>
    <row r="16" spans="1:21" x14ac:dyDescent="0.25">
      <c r="A16" s="10" t="s">
        <v>69</v>
      </c>
      <c r="B16" s="10" t="s">
        <v>70</v>
      </c>
      <c r="C16" s="10" t="s">
        <v>44</v>
      </c>
      <c r="D16" s="10" t="s">
        <v>71</v>
      </c>
      <c r="E16" s="10">
        <v>250</v>
      </c>
      <c r="F16" s="10">
        <v>20</v>
      </c>
      <c r="G16" s="10" t="s">
        <v>28</v>
      </c>
      <c r="I16" t="str">
        <v>Headphones</v>
      </c>
      <c r="K16" s="10" t="s">
        <v>69</v>
      </c>
      <c r="M16" s="10" t="s">
        <v>28</v>
      </c>
      <c r="O16" s="18">
        <v>46128</v>
      </c>
      <c r="Q16" t="s">
        <v>136</v>
      </c>
      <c r="S16" s="14" t="str">
        <f t="shared" si="0"/>
        <v>Headphones-Bose</v>
      </c>
      <c r="U16" s="24"/>
    </row>
    <row r="17" spans="1:21" x14ac:dyDescent="0.25">
      <c r="A17" s="11" t="s">
        <v>72</v>
      </c>
      <c r="B17" s="11" t="s">
        <v>73</v>
      </c>
      <c r="C17" s="11" t="s">
        <v>73</v>
      </c>
      <c r="D17" s="11" t="s">
        <v>74</v>
      </c>
      <c r="E17" s="11">
        <v>50</v>
      </c>
      <c r="F17" s="11">
        <v>35</v>
      </c>
      <c r="G17" s="11" t="s">
        <v>75</v>
      </c>
      <c r="I17" t="str">
        <v>Laptop Bag</v>
      </c>
      <c r="K17" s="11" t="s">
        <v>72</v>
      </c>
      <c r="M17" s="11" t="s">
        <v>75</v>
      </c>
      <c r="O17" s="18">
        <v>46255</v>
      </c>
      <c r="Q17" t="s">
        <v>135</v>
      </c>
      <c r="S17" s="14" t="str">
        <f t="shared" si="0"/>
        <v>Laptop Bag-Samsonite</v>
      </c>
      <c r="U17" s="24"/>
    </row>
    <row r="18" spans="1:21" x14ac:dyDescent="0.25">
      <c r="A18" s="10" t="s">
        <v>76</v>
      </c>
      <c r="B18" s="10" t="s">
        <v>67</v>
      </c>
      <c r="C18" s="10" t="s">
        <v>67</v>
      </c>
      <c r="D18" s="10" t="s">
        <v>77</v>
      </c>
      <c r="E18" s="10">
        <v>160</v>
      </c>
      <c r="F18" s="10">
        <v>15</v>
      </c>
      <c r="G18" s="10" t="s">
        <v>28</v>
      </c>
      <c r="I18" t="str">
        <v>Smartwatch</v>
      </c>
      <c r="K18" s="10" t="s">
        <v>76</v>
      </c>
      <c r="M18" s="10" t="s">
        <v>28</v>
      </c>
      <c r="O18" s="18">
        <v>46254</v>
      </c>
      <c r="Q18" t="s">
        <v>137</v>
      </c>
      <c r="S18" s="14" t="str">
        <f t="shared" si="0"/>
        <v>Smartwatch-Huawei</v>
      </c>
      <c r="U18" s="24"/>
    </row>
    <row r="19" spans="1:21" x14ac:dyDescent="0.25">
      <c r="A19" s="11" t="s">
        <v>78</v>
      </c>
      <c r="B19" s="11" t="s">
        <v>26</v>
      </c>
      <c r="C19" s="11" t="s">
        <v>61</v>
      </c>
      <c r="D19" s="11" t="s">
        <v>79</v>
      </c>
      <c r="E19" s="11">
        <v>980</v>
      </c>
      <c r="F19" s="11">
        <v>10</v>
      </c>
      <c r="G19" s="11" t="s">
        <v>28</v>
      </c>
      <c r="I19" t="str">
        <v>Laptop</v>
      </c>
      <c r="K19" s="11" t="s">
        <v>78</v>
      </c>
      <c r="M19" s="11" t="s">
        <v>28</v>
      </c>
      <c r="O19" s="18">
        <v>46049</v>
      </c>
      <c r="Q19" t="s">
        <v>138</v>
      </c>
      <c r="S19" s="14" t="str">
        <f t="shared" si="0"/>
        <v>Laptop-Asus</v>
      </c>
      <c r="U19" s="24"/>
    </row>
    <row r="20" spans="1:21" x14ac:dyDescent="0.25">
      <c r="A20" s="10" t="s">
        <v>80</v>
      </c>
      <c r="B20" s="10" t="s">
        <v>81</v>
      </c>
      <c r="C20" s="10" t="s">
        <v>81</v>
      </c>
      <c r="D20" s="10" t="s">
        <v>82</v>
      </c>
      <c r="E20" s="10">
        <v>150</v>
      </c>
      <c r="F20" s="10">
        <v>15</v>
      </c>
      <c r="G20" s="10" t="s">
        <v>32</v>
      </c>
      <c r="I20" t="str">
        <v>Sunglasses</v>
      </c>
      <c r="K20" s="10" t="s">
        <v>80</v>
      </c>
      <c r="M20" s="10" t="s">
        <v>32</v>
      </c>
      <c r="O20" s="18">
        <v>46082</v>
      </c>
      <c r="Q20" t="s">
        <v>131</v>
      </c>
      <c r="S20" s="14" t="str">
        <f t="shared" si="0"/>
        <v>Sunglasses-Oakley</v>
      </c>
      <c r="U20" s="24"/>
    </row>
    <row r="21" spans="1:21" x14ac:dyDescent="0.25">
      <c r="A21" s="11" t="s">
        <v>83</v>
      </c>
      <c r="B21" s="11" t="s">
        <v>84</v>
      </c>
      <c r="C21" s="11" t="s">
        <v>84</v>
      </c>
      <c r="D21" s="11" t="s">
        <v>85</v>
      </c>
      <c r="E21" s="11"/>
      <c r="F21" s="11">
        <v>10</v>
      </c>
      <c r="G21" s="11" t="s">
        <v>59</v>
      </c>
      <c r="I21" t="str">
        <v>Camping Tent</v>
      </c>
      <c r="K21" s="11" t="s">
        <v>83</v>
      </c>
      <c r="M21" s="11" t="s">
        <v>59</v>
      </c>
      <c r="O21" s="18">
        <v>46248</v>
      </c>
      <c r="Q21" t="s">
        <v>130</v>
      </c>
      <c r="S21" s="14" t="str">
        <f t="shared" si="0"/>
        <v>Camping Tent-Coleman</v>
      </c>
      <c r="U21" s="24"/>
    </row>
    <row r="22" spans="1:21" x14ac:dyDescent="0.25">
      <c r="A22" s="10" t="s">
        <v>86</v>
      </c>
      <c r="B22" s="10" t="s">
        <v>87</v>
      </c>
      <c r="C22" s="10" t="s">
        <v>87</v>
      </c>
      <c r="D22" s="10" t="s">
        <v>88</v>
      </c>
      <c r="E22" s="10">
        <v>700</v>
      </c>
      <c r="F22" s="10">
        <v>50</v>
      </c>
      <c r="G22" s="10" t="s">
        <v>28</v>
      </c>
      <c r="I22" t="str">
        <v>Camera</v>
      </c>
      <c r="K22" s="10" t="s">
        <v>86</v>
      </c>
      <c r="M22" s="10" t="s">
        <v>28</v>
      </c>
      <c r="O22" s="18">
        <v>46156</v>
      </c>
      <c r="Q22" t="s">
        <v>139</v>
      </c>
      <c r="S22" s="14" t="str">
        <f t="shared" si="0"/>
        <v>Camera-Nikon</v>
      </c>
      <c r="U22" s="24"/>
    </row>
    <row r="23" spans="1:21" x14ac:dyDescent="0.25">
      <c r="A23" s="11" t="s">
        <v>89</v>
      </c>
      <c r="B23" s="11" t="s">
        <v>90</v>
      </c>
      <c r="C23" s="11" t="s">
        <v>90</v>
      </c>
      <c r="D23" s="11" t="s">
        <v>91</v>
      </c>
      <c r="E23" s="11">
        <v>80</v>
      </c>
      <c r="F23" s="11">
        <v>20</v>
      </c>
      <c r="G23" s="11" t="s">
        <v>36</v>
      </c>
      <c r="I23" t="str">
        <v>Microwave</v>
      </c>
      <c r="K23" s="11" t="s">
        <v>89</v>
      </c>
      <c r="M23" s="11" t="s">
        <v>36</v>
      </c>
      <c r="O23" s="18">
        <v>46031</v>
      </c>
      <c r="Q23" t="s">
        <v>135</v>
      </c>
      <c r="S23" s="14" t="str">
        <f t="shared" si="0"/>
        <v>Microwave-Panasonic</v>
      </c>
      <c r="U23" s="24"/>
    </row>
    <row r="24" spans="1:21" x14ac:dyDescent="0.25">
      <c r="A24" s="10" t="s">
        <v>92</v>
      </c>
      <c r="B24" s="10" t="s">
        <v>93</v>
      </c>
      <c r="C24" s="10" t="s">
        <v>93</v>
      </c>
      <c r="D24" s="10" t="s">
        <v>94</v>
      </c>
      <c r="E24" s="10">
        <v>150</v>
      </c>
      <c r="F24" s="10">
        <v>30</v>
      </c>
      <c r="G24" s="10"/>
      <c r="I24" t="str">
        <v>Fitness Tracker</v>
      </c>
      <c r="K24" s="10" t="s">
        <v>92</v>
      </c>
      <c r="M24" s="10" t="str">
        <f>M32</f>
        <v>Electronics</v>
      </c>
      <c r="O24" s="18">
        <v>46222</v>
      </c>
      <c r="Q24" t="s">
        <v>140</v>
      </c>
      <c r="S24" s="14" t="str">
        <f t="shared" si="0"/>
        <v>Fitness Tracker-Xiaomi</v>
      </c>
      <c r="U24" s="24"/>
    </row>
    <row r="25" spans="1:21" x14ac:dyDescent="0.25">
      <c r="A25" s="11" t="s">
        <v>72</v>
      </c>
      <c r="B25" s="11" t="s">
        <v>73</v>
      </c>
      <c r="C25" s="11" t="s">
        <v>73</v>
      </c>
      <c r="D25" s="11" t="s">
        <v>74</v>
      </c>
      <c r="E25" s="11">
        <v>50</v>
      </c>
      <c r="F25" s="11">
        <v>35</v>
      </c>
      <c r="G25" s="11" t="s">
        <v>75</v>
      </c>
      <c r="I25" t="str">
        <v>Laptop Bag</v>
      </c>
      <c r="K25" s="10" t="s">
        <v>95</v>
      </c>
      <c r="M25" s="11" t="s">
        <v>75</v>
      </c>
      <c r="O25" s="18">
        <v>46294</v>
      </c>
      <c r="Q25" t="s">
        <v>135</v>
      </c>
      <c r="S25" s="14" t="str">
        <f t="shared" si="0"/>
        <v>Laptop Bag-Samsonite</v>
      </c>
      <c r="U25" s="24"/>
    </row>
    <row r="26" spans="1:21" x14ac:dyDescent="0.25">
      <c r="A26" s="10" t="s">
        <v>95</v>
      </c>
      <c r="B26" s="10" t="s">
        <v>96</v>
      </c>
      <c r="C26" s="10" t="s">
        <v>96</v>
      </c>
      <c r="D26" s="10" t="s">
        <v>97</v>
      </c>
      <c r="E26" s="10">
        <v>800</v>
      </c>
      <c r="F26" s="10">
        <v>45</v>
      </c>
      <c r="G26" s="10" t="s">
        <v>28</v>
      </c>
      <c r="I26" t="str">
        <v>Smartphone</v>
      </c>
      <c r="K26" s="11" t="s">
        <v>98</v>
      </c>
      <c r="M26" s="10" t="s">
        <v>28</v>
      </c>
      <c r="O26" s="18">
        <v>46176</v>
      </c>
      <c r="Q26" t="s">
        <v>135</v>
      </c>
      <c r="S26" s="14" t="str">
        <f t="shared" si="0"/>
        <v>Smartphone-Google</v>
      </c>
      <c r="U26" s="24"/>
    </row>
    <row r="27" spans="1:21" x14ac:dyDescent="0.25">
      <c r="A27" s="11" t="s">
        <v>98</v>
      </c>
      <c r="B27" s="11" t="s">
        <v>81</v>
      </c>
      <c r="C27" s="11" t="s">
        <v>81</v>
      </c>
      <c r="D27" s="11" t="s">
        <v>99</v>
      </c>
      <c r="E27" s="11"/>
      <c r="F27" s="11">
        <v>25</v>
      </c>
      <c r="G27" s="11" t="s">
        <v>32</v>
      </c>
      <c r="I27" t="str">
        <v>Sunglasses</v>
      </c>
      <c r="K27" s="10" t="s">
        <v>100</v>
      </c>
      <c r="M27" s="11" t="s">
        <v>32</v>
      </c>
      <c r="O27" s="18">
        <v>46214</v>
      </c>
      <c r="Q27" t="s">
        <v>135</v>
      </c>
      <c r="S27" s="14" t="str">
        <f t="shared" si="0"/>
        <v>Sunglasses-Ray-Ban</v>
      </c>
      <c r="U27" s="24"/>
    </row>
    <row r="28" spans="1:21" x14ac:dyDescent="0.25">
      <c r="A28" s="10" t="s">
        <v>100</v>
      </c>
      <c r="B28" s="10" t="s">
        <v>51</v>
      </c>
      <c r="C28" s="10" t="s">
        <v>51</v>
      </c>
      <c r="D28" s="10" t="s">
        <v>101</v>
      </c>
      <c r="E28" s="10">
        <v>400</v>
      </c>
      <c r="F28" s="10">
        <v>40</v>
      </c>
      <c r="G28" s="10" t="s">
        <v>36</v>
      </c>
      <c r="I28" t="str">
        <v>Blender</v>
      </c>
      <c r="K28" s="10" t="s">
        <v>102</v>
      </c>
      <c r="M28" s="10" t="s">
        <v>36</v>
      </c>
      <c r="O28" s="18">
        <v>46088</v>
      </c>
      <c r="Q28" t="s">
        <v>135</v>
      </c>
      <c r="S28" s="14" t="str">
        <f t="shared" si="0"/>
        <v>Blender-Vitamix</v>
      </c>
      <c r="U28" s="24"/>
    </row>
    <row r="29" spans="1:21" x14ac:dyDescent="0.25">
      <c r="A29" s="11" t="s">
        <v>69</v>
      </c>
      <c r="B29" s="11" t="s">
        <v>70</v>
      </c>
      <c r="C29" s="11" t="s">
        <v>44</v>
      </c>
      <c r="D29" s="11" t="s">
        <v>71</v>
      </c>
      <c r="E29" s="11">
        <v>250</v>
      </c>
      <c r="F29" s="11">
        <v>20</v>
      </c>
      <c r="G29" s="11" t="s">
        <v>28</v>
      </c>
      <c r="I29" t="str">
        <v>Headphones</v>
      </c>
      <c r="K29" s="11" t="s">
        <v>105</v>
      </c>
      <c r="M29" s="11" t="s">
        <v>28</v>
      </c>
      <c r="O29" s="18">
        <v>46125</v>
      </c>
      <c r="Q29" t="s">
        <v>135</v>
      </c>
      <c r="S29" s="14" t="str">
        <f t="shared" si="0"/>
        <v>Headphones-Bose</v>
      </c>
      <c r="U29" s="24"/>
    </row>
    <row r="30" spans="1:21" x14ac:dyDescent="0.25">
      <c r="A30" s="10" t="s">
        <v>102</v>
      </c>
      <c r="B30" s="10" t="s">
        <v>103</v>
      </c>
      <c r="C30" s="10" t="s">
        <v>103</v>
      </c>
      <c r="D30" s="10" t="s">
        <v>104</v>
      </c>
      <c r="E30" s="10">
        <v>60</v>
      </c>
      <c r="F30" s="10">
        <v>30</v>
      </c>
      <c r="G30" s="10" t="s">
        <v>32</v>
      </c>
      <c r="I30" t="str">
        <v>Dress</v>
      </c>
      <c r="K30" s="10" t="s">
        <v>108</v>
      </c>
      <c r="M30" s="10" t="s">
        <v>32</v>
      </c>
      <c r="O30" s="18">
        <v>46166</v>
      </c>
      <c r="Q30" t="s">
        <v>135</v>
      </c>
      <c r="S30" s="14" t="str">
        <f t="shared" si="0"/>
        <v>Dress-Zara</v>
      </c>
      <c r="U30" s="24"/>
    </row>
    <row r="31" spans="1:21" x14ac:dyDescent="0.25">
      <c r="A31" s="11" t="s">
        <v>105</v>
      </c>
      <c r="B31" s="11" t="s">
        <v>106</v>
      </c>
      <c r="C31" s="11" t="s">
        <v>106</v>
      </c>
      <c r="D31" s="11" t="s">
        <v>107</v>
      </c>
      <c r="E31" s="11">
        <v>40</v>
      </c>
      <c r="F31" s="11">
        <v>10</v>
      </c>
      <c r="G31" s="11" t="s">
        <v>36</v>
      </c>
      <c r="I31" t="str">
        <v>Toaster</v>
      </c>
      <c r="K31" s="11" t="s">
        <v>110</v>
      </c>
      <c r="M31" s="11" t="s">
        <v>36</v>
      </c>
      <c r="O31" s="18">
        <v>46358</v>
      </c>
      <c r="Q31" t="s">
        <v>135</v>
      </c>
      <c r="S31" s="14" t="str">
        <f t="shared" si="0"/>
        <v>Toaster-Hamilton</v>
      </c>
      <c r="U31" s="24"/>
    </row>
    <row r="32" spans="1:21" x14ac:dyDescent="0.25">
      <c r="A32" s="10" t="s">
        <v>108</v>
      </c>
      <c r="B32" s="10" t="s">
        <v>93</v>
      </c>
      <c r="C32" s="10" t="s">
        <v>93</v>
      </c>
      <c r="D32" s="10" t="s">
        <v>109</v>
      </c>
      <c r="E32" s="10">
        <v>130</v>
      </c>
      <c r="F32" s="10">
        <v>5</v>
      </c>
      <c r="G32" s="10" t="s">
        <v>28</v>
      </c>
      <c r="I32" t="str">
        <v>Fitness Tracker</v>
      </c>
      <c r="K32" s="11" t="s">
        <v>113</v>
      </c>
      <c r="M32" s="10" t="s">
        <v>28</v>
      </c>
      <c r="O32" s="18">
        <v>46212</v>
      </c>
      <c r="Q32" t="s">
        <v>141</v>
      </c>
      <c r="S32" s="14" t="str">
        <f t="shared" si="0"/>
        <v>Fitness Tracker-Garmin</v>
      </c>
      <c r="U32" s="24"/>
    </row>
    <row r="33" spans="1:21" x14ac:dyDescent="0.25">
      <c r="A33" s="11" t="s">
        <v>110</v>
      </c>
      <c r="B33" s="11" t="s">
        <v>111</v>
      </c>
      <c r="C33" s="11" t="s">
        <v>111</v>
      </c>
      <c r="D33" s="11" t="s">
        <v>112</v>
      </c>
      <c r="E33" s="11">
        <v>50</v>
      </c>
      <c r="F33" s="11">
        <v>50</v>
      </c>
      <c r="G33" s="11" t="s">
        <v>32</v>
      </c>
      <c r="I33" t="str">
        <v>Jeans</v>
      </c>
      <c r="M33" s="11" t="s">
        <v>32</v>
      </c>
      <c r="S33" s="14" t="str">
        <f t="shared" si="0"/>
        <v>Jeans-Levi's</v>
      </c>
      <c r="U33" s="24"/>
    </row>
    <row r="34" spans="1:21" x14ac:dyDescent="0.25">
      <c r="A34" s="10" t="s">
        <v>60</v>
      </c>
      <c r="B34" s="10" t="s">
        <v>61</v>
      </c>
      <c r="C34" s="10" t="s">
        <v>61</v>
      </c>
      <c r="D34" s="10" t="s">
        <v>62</v>
      </c>
      <c r="E34" s="10">
        <v>950</v>
      </c>
      <c r="F34" s="10">
        <v>25</v>
      </c>
      <c r="G34" s="10" t="s">
        <v>28</v>
      </c>
      <c r="I34" t="str">
        <v>Laptop</v>
      </c>
      <c r="M34" s="10" t="s">
        <v>28</v>
      </c>
      <c r="S34" s="14" t="str">
        <f t="shared" si="0"/>
        <v>Laptop-HP</v>
      </c>
      <c r="U34" s="24"/>
    </row>
    <row r="35" spans="1:21" x14ac:dyDescent="0.25">
      <c r="A35" s="11" t="s">
        <v>113</v>
      </c>
      <c r="B35" s="11" t="s">
        <v>114</v>
      </c>
      <c r="C35" s="11" t="s">
        <v>114</v>
      </c>
      <c r="D35" s="11" t="s">
        <v>115</v>
      </c>
      <c r="E35" s="11">
        <v>100</v>
      </c>
      <c r="F35" s="11">
        <v>20</v>
      </c>
      <c r="G35" s="11" t="s">
        <v>75</v>
      </c>
      <c r="I35" t="str">
        <v>Watch</v>
      </c>
      <c r="M35" s="11" t="s">
        <v>75</v>
      </c>
      <c r="S35" s="14" t="str">
        <f t="shared" si="0"/>
        <v>Watch-Casio</v>
      </c>
      <c r="U35" s="24"/>
    </row>
    <row r="38" spans="1:21" ht="15" x14ac:dyDescent="0.3">
      <c r="A38" s="2" t="s">
        <v>1</v>
      </c>
    </row>
    <row r="39" spans="1:21" ht="15.5" x14ac:dyDescent="0.35">
      <c r="B39" s="13" t="s">
        <v>2</v>
      </c>
      <c r="C39" s="13"/>
    </row>
    <row r="42" spans="1:21" ht="13" x14ac:dyDescent="0.3">
      <c r="B42" s="12" t="s">
        <v>116</v>
      </c>
      <c r="C42" s="12"/>
      <c r="F42" s="12">
        <f>COUNTBLANK(Dataset!D2:D35)</f>
        <v>3</v>
      </c>
    </row>
    <row r="43" spans="1:21" ht="13" x14ac:dyDescent="0.3">
      <c r="B43" s="12"/>
      <c r="C43" s="12"/>
      <c r="F43" s="12"/>
    </row>
    <row r="44" spans="1:21" ht="13" x14ac:dyDescent="0.3">
      <c r="B44" s="14" t="s">
        <v>148</v>
      </c>
      <c r="C44" s="12"/>
      <c r="F44" s="12"/>
    </row>
    <row r="45" spans="1:21" ht="13" x14ac:dyDescent="0.3">
      <c r="B45" s="14" t="s">
        <v>149</v>
      </c>
      <c r="C45" s="12"/>
      <c r="F45" s="12"/>
    </row>
    <row r="48" spans="1:21" ht="15.5" x14ac:dyDescent="0.35">
      <c r="B48" s="13" t="s">
        <v>3</v>
      </c>
      <c r="C48" s="13"/>
    </row>
    <row r="51" spans="1:6" ht="13" x14ac:dyDescent="0.3">
      <c r="B51" s="12" t="s">
        <v>117</v>
      </c>
      <c r="C51" s="12"/>
      <c r="F51" s="12">
        <f>COUNTBLANK(G2:G35)</f>
        <v>4</v>
      </c>
    </row>
    <row r="53" spans="1:6" x14ac:dyDescent="0.25">
      <c r="B53" s="14" t="s">
        <v>124</v>
      </c>
      <c r="C53" s="14"/>
    </row>
    <row r="54" spans="1:6" x14ac:dyDescent="0.25">
      <c r="B54" s="14" t="s">
        <v>125</v>
      </c>
      <c r="C54" s="14"/>
    </row>
    <row r="55" spans="1:6" x14ac:dyDescent="0.25">
      <c r="B55" s="14" t="s">
        <v>126</v>
      </c>
      <c r="C55" s="14"/>
    </row>
    <row r="57" spans="1:6" ht="15" x14ac:dyDescent="0.3">
      <c r="A57" s="2" t="s">
        <v>4</v>
      </c>
    </row>
    <row r="58" spans="1:6" ht="15.5" x14ac:dyDescent="0.35">
      <c r="B58" s="3" t="s">
        <v>5</v>
      </c>
      <c r="C58" s="3"/>
    </row>
    <row r="61" spans="1:6" ht="13" x14ac:dyDescent="0.3">
      <c r="B61" s="12" t="s">
        <v>119</v>
      </c>
      <c r="C61" s="12"/>
    </row>
    <row r="64" spans="1:6" ht="15.5" x14ac:dyDescent="0.35">
      <c r="B64" s="13" t="s">
        <v>6</v>
      </c>
      <c r="C64" s="13"/>
    </row>
    <row r="65" spans="1:3" ht="15.5" x14ac:dyDescent="0.35">
      <c r="B65" s="13"/>
      <c r="C65" s="13"/>
    </row>
    <row r="67" spans="1:3" ht="13" x14ac:dyDescent="0.3">
      <c r="B67" s="14" t="s">
        <v>121</v>
      </c>
      <c r="C67" s="14"/>
    </row>
    <row r="68" spans="1:3" x14ac:dyDescent="0.25">
      <c r="B68" s="14"/>
      <c r="C68" s="14"/>
    </row>
    <row r="70" spans="1:3" ht="15.5" x14ac:dyDescent="0.35">
      <c r="B70" s="13" t="s">
        <v>7</v>
      </c>
      <c r="C70" s="3"/>
    </row>
    <row r="71" spans="1:3" ht="15.5" x14ac:dyDescent="0.35">
      <c r="B71" s="3"/>
      <c r="C71" s="3"/>
    </row>
    <row r="72" spans="1:3" ht="15.5" x14ac:dyDescent="0.35">
      <c r="B72" s="25" t="s">
        <v>147</v>
      </c>
      <c r="C72" s="13"/>
    </row>
    <row r="75" spans="1:3" ht="15" x14ac:dyDescent="0.3">
      <c r="A75" s="2" t="s">
        <v>8</v>
      </c>
    </row>
    <row r="76" spans="1:3" ht="15.5" x14ac:dyDescent="0.35">
      <c r="B76" s="3" t="s">
        <v>9</v>
      </c>
      <c r="C76" s="3"/>
    </row>
    <row r="79" spans="1:3" ht="13" x14ac:dyDescent="0.3">
      <c r="B79" s="12" t="s">
        <v>122</v>
      </c>
      <c r="C79" s="12"/>
    </row>
    <row r="80" spans="1:3" ht="13" x14ac:dyDescent="0.3">
      <c r="B80" s="16" t="s">
        <v>123</v>
      </c>
      <c r="C80" s="16"/>
    </row>
    <row r="83" spans="1:4" ht="15" x14ac:dyDescent="0.3">
      <c r="A83" s="5" t="s">
        <v>10</v>
      </c>
    </row>
    <row r="85" spans="1:4" ht="15.5" x14ac:dyDescent="0.35">
      <c r="B85" s="17" t="s">
        <v>11</v>
      </c>
      <c r="C85" s="17"/>
    </row>
    <row r="88" spans="1:4" ht="13" x14ac:dyDescent="0.3">
      <c r="D88" s="14" t="s">
        <v>142</v>
      </c>
    </row>
    <row r="91" spans="1:4" ht="15.5" x14ac:dyDescent="0.35">
      <c r="B91" s="17" t="s">
        <v>12</v>
      </c>
      <c r="C91" s="17"/>
    </row>
    <row r="94" spans="1:4" ht="13" x14ac:dyDescent="0.3">
      <c r="C94" s="14" t="s">
        <v>145</v>
      </c>
    </row>
    <row r="97" spans="1:2" ht="15" x14ac:dyDescent="0.3">
      <c r="A97" s="5" t="s">
        <v>13</v>
      </c>
    </row>
    <row r="99" spans="1:2" ht="15.5" x14ac:dyDescent="0.35">
      <c r="B99" s="7" t="s">
        <v>14</v>
      </c>
    </row>
    <row r="102" spans="1:2" ht="13" x14ac:dyDescent="0.3">
      <c r="B102" s="19" t="s">
        <v>22</v>
      </c>
    </row>
    <row r="103" spans="1:2" x14ac:dyDescent="0.25">
      <c r="B103" s="20">
        <v>1000</v>
      </c>
    </row>
    <row r="104" spans="1:2" x14ac:dyDescent="0.25">
      <c r="B104" s="21">
        <v>80</v>
      </c>
    </row>
    <row r="105" spans="1:2" x14ac:dyDescent="0.25">
      <c r="B105" s="20">
        <v>130</v>
      </c>
    </row>
    <row r="106" spans="1:2" x14ac:dyDescent="0.25">
      <c r="B106" s="21">
        <v>900</v>
      </c>
    </row>
    <row r="107" spans="1:2" x14ac:dyDescent="0.25">
      <c r="B107" s="20">
        <v>70</v>
      </c>
    </row>
    <row r="108" spans="1:2" x14ac:dyDescent="0.25">
      <c r="B108" s="21"/>
    </row>
    <row r="109" spans="1:2" x14ac:dyDescent="0.25">
      <c r="B109" s="20">
        <v>30</v>
      </c>
    </row>
    <row r="110" spans="1:2" x14ac:dyDescent="0.25">
      <c r="B110" s="21">
        <v>90</v>
      </c>
    </row>
    <row r="111" spans="1:2" x14ac:dyDescent="0.25">
      <c r="B111" s="20">
        <v>500</v>
      </c>
    </row>
    <row r="112" spans="1:2" x14ac:dyDescent="0.25">
      <c r="B112" s="21">
        <v>130</v>
      </c>
    </row>
    <row r="113" spans="2:2" x14ac:dyDescent="0.25">
      <c r="B113" s="20">
        <v>950</v>
      </c>
    </row>
    <row r="114" spans="2:2" x14ac:dyDescent="0.25">
      <c r="B114" s="21">
        <v>90</v>
      </c>
    </row>
    <row r="115" spans="2:2" x14ac:dyDescent="0.25">
      <c r="B115" s="20">
        <v>120</v>
      </c>
    </row>
    <row r="116" spans="2:2" x14ac:dyDescent="0.25">
      <c r="B116" s="21">
        <v>150</v>
      </c>
    </row>
    <row r="117" spans="2:2" x14ac:dyDescent="0.25">
      <c r="B117" s="20">
        <v>250</v>
      </c>
    </row>
    <row r="118" spans="2:2" x14ac:dyDescent="0.25">
      <c r="B118" s="21">
        <v>50</v>
      </c>
    </row>
    <row r="119" spans="2:2" x14ac:dyDescent="0.25">
      <c r="B119" s="20">
        <v>160</v>
      </c>
    </row>
    <row r="120" spans="2:2" x14ac:dyDescent="0.25">
      <c r="B120" s="21">
        <v>980</v>
      </c>
    </row>
    <row r="121" spans="2:2" x14ac:dyDescent="0.25">
      <c r="B121" s="20">
        <v>150</v>
      </c>
    </row>
    <row r="122" spans="2:2" x14ac:dyDescent="0.25">
      <c r="B122" s="21"/>
    </row>
    <row r="123" spans="2:2" x14ac:dyDescent="0.25">
      <c r="B123" s="20">
        <v>700</v>
      </c>
    </row>
    <row r="124" spans="2:2" x14ac:dyDescent="0.25">
      <c r="B124" s="21">
        <v>80</v>
      </c>
    </row>
    <row r="125" spans="2:2" x14ac:dyDescent="0.25">
      <c r="B125" s="20">
        <v>150</v>
      </c>
    </row>
    <row r="126" spans="2:2" x14ac:dyDescent="0.25">
      <c r="B126" s="21">
        <v>50</v>
      </c>
    </row>
    <row r="127" spans="2:2" x14ac:dyDescent="0.25">
      <c r="B127" s="20">
        <v>800</v>
      </c>
    </row>
    <row r="128" spans="2:2" x14ac:dyDescent="0.25">
      <c r="B128" s="21"/>
    </row>
    <row r="129" spans="2:2" x14ac:dyDescent="0.25">
      <c r="B129" s="20">
        <v>400</v>
      </c>
    </row>
    <row r="130" spans="2:2" x14ac:dyDescent="0.25">
      <c r="B130" s="21">
        <v>250</v>
      </c>
    </row>
    <row r="131" spans="2:2" x14ac:dyDescent="0.25">
      <c r="B131" s="20">
        <v>60</v>
      </c>
    </row>
    <row r="132" spans="2:2" x14ac:dyDescent="0.25">
      <c r="B132" s="21">
        <v>40</v>
      </c>
    </row>
    <row r="133" spans="2:2" x14ac:dyDescent="0.25">
      <c r="B133" s="20">
        <v>130</v>
      </c>
    </row>
    <row r="134" spans="2:2" x14ac:dyDescent="0.25">
      <c r="B134" s="21">
        <v>50</v>
      </c>
    </row>
    <row r="135" spans="2:2" x14ac:dyDescent="0.25">
      <c r="B135" s="20">
        <v>950</v>
      </c>
    </row>
    <row r="136" spans="2:2" x14ac:dyDescent="0.25">
      <c r="B136" s="21">
        <v>100</v>
      </c>
    </row>
    <row r="139" spans="2:2" ht="15.5" x14ac:dyDescent="0.35">
      <c r="B139" s="17" t="s">
        <v>15</v>
      </c>
    </row>
    <row r="142" spans="2:2" ht="13" x14ac:dyDescent="0.3">
      <c r="B142" s="19" t="s">
        <v>146</v>
      </c>
    </row>
    <row r="143" spans="2:2" x14ac:dyDescent="0.25">
      <c r="B143" s="22">
        <v>46050</v>
      </c>
    </row>
    <row r="144" spans="2:2" x14ac:dyDescent="0.25">
      <c r="B144" s="22">
        <v>46068</v>
      </c>
    </row>
    <row r="145" spans="2:2" x14ac:dyDescent="0.25">
      <c r="B145" s="22">
        <v>46084</v>
      </c>
    </row>
    <row r="146" spans="2:2" x14ac:dyDescent="0.25">
      <c r="B146" s="22">
        <v>46123</v>
      </c>
    </row>
    <row r="147" spans="2:2" x14ac:dyDescent="0.25">
      <c r="B147" s="22">
        <v>46164</v>
      </c>
    </row>
    <row r="148" spans="2:2" x14ac:dyDescent="0.25">
      <c r="B148" s="22">
        <v>46180</v>
      </c>
    </row>
    <row r="149" spans="2:2" x14ac:dyDescent="0.25">
      <c r="B149" s="22">
        <v>46222</v>
      </c>
    </row>
    <row r="150" spans="2:2" x14ac:dyDescent="0.25">
      <c r="B150" s="22">
        <v>46257</v>
      </c>
    </row>
    <row r="151" spans="2:2" x14ac:dyDescent="0.25">
      <c r="B151" s="22">
        <v>46270</v>
      </c>
    </row>
    <row r="152" spans="2:2" x14ac:dyDescent="0.25">
      <c r="B152" s="22">
        <v>46309</v>
      </c>
    </row>
    <row r="153" spans="2:2" x14ac:dyDescent="0.25">
      <c r="B153" s="22">
        <v>46190</v>
      </c>
    </row>
    <row r="154" spans="2:2" x14ac:dyDescent="0.25">
      <c r="B154" s="22">
        <v>46351</v>
      </c>
    </row>
    <row r="155" spans="2:2" x14ac:dyDescent="0.25">
      <c r="B155" s="22">
        <v>46364</v>
      </c>
    </row>
    <row r="156" spans="2:2" x14ac:dyDescent="0.25">
      <c r="B156" s="22">
        <v>46071</v>
      </c>
    </row>
    <row r="157" spans="2:2" x14ac:dyDescent="0.25">
      <c r="B157" s="22">
        <v>46128</v>
      </c>
    </row>
    <row r="158" spans="2:2" x14ac:dyDescent="0.25">
      <c r="B158" s="22">
        <v>46255</v>
      </c>
    </row>
    <row r="159" spans="2:2" x14ac:dyDescent="0.25">
      <c r="B159" s="22">
        <v>46254</v>
      </c>
    </row>
    <row r="160" spans="2:2" x14ac:dyDescent="0.25">
      <c r="B160" s="22">
        <v>46049</v>
      </c>
    </row>
    <row r="161" spans="1:2" x14ac:dyDescent="0.25">
      <c r="B161" s="22">
        <v>46082</v>
      </c>
    </row>
    <row r="162" spans="1:2" x14ac:dyDescent="0.25">
      <c r="B162" s="22">
        <v>46248</v>
      </c>
    </row>
    <row r="163" spans="1:2" x14ac:dyDescent="0.25">
      <c r="B163" s="22">
        <v>46156</v>
      </c>
    </row>
    <row r="164" spans="1:2" x14ac:dyDescent="0.25">
      <c r="B164" s="22">
        <v>46031</v>
      </c>
    </row>
    <row r="165" spans="1:2" x14ac:dyDescent="0.25">
      <c r="B165" s="22">
        <v>46222</v>
      </c>
    </row>
    <row r="166" spans="1:2" x14ac:dyDescent="0.25">
      <c r="B166" s="22">
        <v>46294</v>
      </c>
    </row>
    <row r="167" spans="1:2" x14ac:dyDescent="0.25">
      <c r="B167" s="22">
        <v>46176</v>
      </c>
    </row>
    <row r="168" spans="1:2" x14ac:dyDescent="0.25">
      <c r="B168" s="22">
        <v>46214</v>
      </c>
    </row>
    <row r="169" spans="1:2" x14ac:dyDescent="0.25">
      <c r="B169" s="22">
        <v>46088</v>
      </c>
    </row>
    <row r="170" spans="1:2" x14ac:dyDescent="0.25">
      <c r="B170" s="22">
        <v>46125</v>
      </c>
    </row>
    <row r="171" spans="1:2" x14ac:dyDescent="0.25">
      <c r="B171" s="22">
        <v>46166</v>
      </c>
    </row>
    <row r="172" spans="1:2" x14ac:dyDescent="0.25">
      <c r="B172" s="22">
        <v>46358</v>
      </c>
    </row>
    <row r="173" spans="1:2" x14ac:dyDescent="0.25">
      <c r="B173" s="22">
        <v>46212</v>
      </c>
    </row>
    <row r="176" spans="1:2" ht="15" x14ac:dyDescent="0.3">
      <c r="A176" s="5" t="s">
        <v>16</v>
      </c>
    </row>
    <row r="178" spans="2:2" ht="15.5" x14ac:dyDescent="0.35">
      <c r="B178" s="7" t="s">
        <v>17</v>
      </c>
    </row>
    <row r="180" spans="2:2" ht="13" x14ac:dyDescent="0.3">
      <c r="B180" s="9" t="s">
        <v>22</v>
      </c>
    </row>
    <row r="181" spans="2:2" x14ac:dyDescent="0.25">
      <c r="B181" s="10">
        <v>1000</v>
      </c>
    </row>
    <row r="182" spans="2:2" x14ac:dyDescent="0.25">
      <c r="B182" s="11">
        <v>80</v>
      </c>
    </row>
    <row r="183" spans="2:2" x14ac:dyDescent="0.25">
      <c r="B183" s="10">
        <v>130</v>
      </c>
    </row>
    <row r="184" spans="2:2" x14ac:dyDescent="0.25">
      <c r="B184" s="11">
        <v>900</v>
      </c>
    </row>
    <row r="185" spans="2:2" x14ac:dyDescent="0.25">
      <c r="B185" s="10">
        <v>70</v>
      </c>
    </row>
    <row r="186" spans="2:2" x14ac:dyDescent="0.25">
      <c r="B186" s="11"/>
    </row>
    <row r="187" spans="2:2" x14ac:dyDescent="0.25">
      <c r="B187" s="10">
        <v>30</v>
      </c>
    </row>
    <row r="188" spans="2:2" x14ac:dyDescent="0.25">
      <c r="B188" s="11">
        <v>90</v>
      </c>
    </row>
    <row r="189" spans="2:2" x14ac:dyDescent="0.25">
      <c r="B189" s="10">
        <v>500</v>
      </c>
    </row>
    <row r="190" spans="2:2" x14ac:dyDescent="0.25">
      <c r="B190" s="11">
        <v>130</v>
      </c>
    </row>
    <row r="191" spans="2:2" x14ac:dyDescent="0.25">
      <c r="B191" s="10">
        <v>950</v>
      </c>
    </row>
    <row r="192" spans="2:2" x14ac:dyDescent="0.25">
      <c r="B192" s="11">
        <v>90</v>
      </c>
    </row>
    <row r="193" spans="2:2" x14ac:dyDescent="0.25">
      <c r="B193" s="10">
        <v>120</v>
      </c>
    </row>
    <row r="194" spans="2:2" x14ac:dyDescent="0.25">
      <c r="B194" s="11">
        <v>150</v>
      </c>
    </row>
    <row r="195" spans="2:2" x14ac:dyDescent="0.25">
      <c r="B195" s="10">
        <v>250</v>
      </c>
    </row>
    <row r="196" spans="2:2" x14ac:dyDescent="0.25">
      <c r="B196" s="11">
        <v>50</v>
      </c>
    </row>
    <row r="197" spans="2:2" x14ac:dyDescent="0.25">
      <c r="B197" s="10">
        <v>160</v>
      </c>
    </row>
    <row r="198" spans="2:2" x14ac:dyDescent="0.25">
      <c r="B198" s="11">
        <v>980</v>
      </c>
    </row>
    <row r="199" spans="2:2" x14ac:dyDescent="0.25">
      <c r="B199" s="10">
        <v>150</v>
      </c>
    </row>
    <row r="200" spans="2:2" x14ac:dyDescent="0.25">
      <c r="B200" s="11"/>
    </row>
    <row r="201" spans="2:2" x14ac:dyDescent="0.25">
      <c r="B201" s="10">
        <v>700</v>
      </c>
    </row>
    <row r="202" spans="2:2" x14ac:dyDescent="0.25">
      <c r="B202" s="11">
        <v>80</v>
      </c>
    </row>
    <row r="203" spans="2:2" x14ac:dyDescent="0.25">
      <c r="B203" s="10">
        <v>150</v>
      </c>
    </row>
    <row r="204" spans="2:2" x14ac:dyDescent="0.25">
      <c r="B204" s="11">
        <v>50</v>
      </c>
    </row>
    <row r="205" spans="2:2" x14ac:dyDescent="0.25">
      <c r="B205" s="10">
        <v>800</v>
      </c>
    </row>
    <row r="206" spans="2:2" x14ac:dyDescent="0.25">
      <c r="B206" s="11"/>
    </row>
    <row r="207" spans="2:2" x14ac:dyDescent="0.25">
      <c r="B207" s="10">
        <v>400</v>
      </c>
    </row>
    <row r="208" spans="2:2" x14ac:dyDescent="0.25">
      <c r="B208" s="11">
        <v>250</v>
      </c>
    </row>
    <row r="209" spans="2:2" x14ac:dyDescent="0.25">
      <c r="B209" s="10">
        <v>60</v>
      </c>
    </row>
    <row r="210" spans="2:2" x14ac:dyDescent="0.25">
      <c r="B210" s="11">
        <v>40</v>
      </c>
    </row>
    <row r="211" spans="2:2" x14ac:dyDescent="0.25">
      <c r="B211" s="10">
        <v>130</v>
      </c>
    </row>
    <row r="212" spans="2:2" x14ac:dyDescent="0.25">
      <c r="B212" s="11">
        <v>50</v>
      </c>
    </row>
    <row r="213" spans="2:2" x14ac:dyDescent="0.25">
      <c r="B213" s="10">
        <v>950</v>
      </c>
    </row>
    <row r="214" spans="2:2" x14ac:dyDescent="0.25">
      <c r="B214" s="11">
        <v>100</v>
      </c>
    </row>
    <row r="218" spans="2:2" ht="15.5" x14ac:dyDescent="0.35">
      <c r="B218" s="17" t="s">
        <v>18</v>
      </c>
    </row>
    <row r="221" spans="2:2" ht="13" x14ac:dyDescent="0.3">
      <c r="B221" s="9" t="s">
        <v>24</v>
      </c>
    </row>
    <row r="222" spans="2:2" x14ac:dyDescent="0.25">
      <c r="B222" s="10" t="s">
        <v>28</v>
      </c>
    </row>
    <row r="223" spans="2:2" x14ac:dyDescent="0.25">
      <c r="B223" s="11" t="s">
        <v>32</v>
      </c>
    </row>
    <row r="224" spans="2:2" x14ac:dyDescent="0.25">
      <c r="B224" s="10" t="s">
        <v>36</v>
      </c>
    </row>
    <row r="225" spans="2:2" x14ac:dyDescent="0.25">
      <c r="B225" s="11" t="s">
        <v>28</v>
      </c>
    </row>
    <row r="226" spans="2:2" x14ac:dyDescent="0.25">
      <c r="B226" s="10" t="str">
        <f>B237</f>
        <v>Accessories</v>
      </c>
    </row>
    <row r="227" spans="2:2" x14ac:dyDescent="0.25">
      <c r="B227" s="11" t="s">
        <v>28</v>
      </c>
    </row>
    <row r="228" spans="2:2" x14ac:dyDescent="0.25">
      <c r="B228" s="10" t="s">
        <v>32</v>
      </c>
    </row>
    <row r="229" spans="2:2" x14ac:dyDescent="0.25">
      <c r="B229" s="11" t="s">
        <v>36</v>
      </c>
    </row>
    <row r="230" spans="2:2" x14ac:dyDescent="0.25">
      <c r="B230" s="10" t="s">
        <v>28</v>
      </c>
    </row>
    <row r="231" spans="2:2" x14ac:dyDescent="0.25">
      <c r="B231" s="11" t="s">
        <v>59</v>
      </c>
    </row>
    <row r="232" spans="2:2" x14ac:dyDescent="0.25">
      <c r="B232" s="10" t="s">
        <v>28</v>
      </c>
    </row>
    <row r="233" spans="2:2" x14ac:dyDescent="0.25">
      <c r="B233" s="11" t="str">
        <f>B223</f>
        <v>Fashion</v>
      </c>
    </row>
    <row r="234" spans="2:2" x14ac:dyDescent="0.25">
      <c r="B234" s="10" t="str">
        <f>B224</f>
        <v>Kitchen</v>
      </c>
    </row>
    <row r="235" spans="2:2" x14ac:dyDescent="0.25">
      <c r="B235" s="11" t="s">
        <v>28</v>
      </c>
    </row>
    <row r="236" spans="2:2" x14ac:dyDescent="0.25">
      <c r="B236" s="10" t="s">
        <v>28</v>
      </c>
    </row>
    <row r="237" spans="2:2" x14ac:dyDescent="0.25">
      <c r="B237" s="11" t="s">
        <v>75</v>
      </c>
    </row>
    <row r="238" spans="2:2" x14ac:dyDescent="0.25">
      <c r="B238" s="10" t="s">
        <v>28</v>
      </c>
    </row>
    <row r="239" spans="2:2" x14ac:dyDescent="0.25">
      <c r="B239" s="11" t="s">
        <v>28</v>
      </c>
    </row>
    <row r="240" spans="2:2" x14ac:dyDescent="0.25">
      <c r="B240" s="10" t="s">
        <v>32</v>
      </c>
    </row>
    <row r="241" spans="2:2" x14ac:dyDescent="0.25">
      <c r="B241" s="11" t="s">
        <v>59</v>
      </c>
    </row>
    <row r="242" spans="2:2" x14ac:dyDescent="0.25">
      <c r="B242" s="10" t="s">
        <v>28</v>
      </c>
    </row>
    <row r="243" spans="2:2" x14ac:dyDescent="0.25">
      <c r="B243" s="11" t="s">
        <v>36</v>
      </c>
    </row>
    <row r="244" spans="2:2" x14ac:dyDescent="0.25">
      <c r="B244" s="10" t="str">
        <f>B252</f>
        <v>Electronics</v>
      </c>
    </row>
    <row r="245" spans="2:2" x14ac:dyDescent="0.25">
      <c r="B245" s="11" t="s">
        <v>75</v>
      </c>
    </row>
    <row r="246" spans="2:2" x14ac:dyDescent="0.25">
      <c r="B246" s="10" t="s">
        <v>28</v>
      </c>
    </row>
    <row r="247" spans="2:2" x14ac:dyDescent="0.25">
      <c r="B247" s="11" t="s">
        <v>32</v>
      </c>
    </row>
    <row r="248" spans="2:2" x14ac:dyDescent="0.25">
      <c r="B248" s="10" t="s">
        <v>36</v>
      </c>
    </row>
    <row r="249" spans="2:2" x14ac:dyDescent="0.25">
      <c r="B249" s="11" t="s">
        <v>28</v>
      </c>
    </row>
    <row r="250" spans="2:2" x14ac:dyDescent="0.25">
      <c r="B250" s="10" t="s">
        <v>32</v>
      </c>
    </row>
    <row r="251" spans="2:2" x14ac:dyDescent="0.25">
      <c r="B251" s="11" t="s">
        <v>36</v>
      </c>
    </row>
    <row r="252" spans="2:2" x14ac:dyDescent="0.25">
      <c r="B252" s="10" t="s">
        <v>28</v>
      </c>
    </row>
    <row r="253" spans="2:2" x14ac:dyDescent="0.25">
      <c r="B253" s="11" t="s">
        <v>32</v>
      </c>
    </row>
    <row r="254" spans="2:2" x14ac:dyDescent="0.25">
      <c r="B254" s="10" t="s">
        <v>28</v>
      </c>
    </row>
    <row r="255" spans="2:2" x14ac:dyDescent="0.25">
      <c r="B255" s="11" t="s">
        <v>75</v>
      </c>
    </row>
  </sheetData>
  <autoFilter ref="A1:G35" xr:uid="{19CFC783-B44C-41E6-8D36-3BBE7DF80451}"/>
  <dataConsolidate/>
  <conditionalFormatting sqref="A1:A35">
    <cfRule type="duplicateValues" dxfId="2" priority="6"/>
  </conditionalFormatting>
  <conditionalFormatting sqref="B181:B2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{8B465640-7411-4D7E-96CB-183EB9C11DD0}</x14:id>
        </ext>
      </extLst>
    </cfRule>
    <cfRule type="cellIs" dxfId="1" priority="5" operator="greaterThan">
      <formula>800</formula>
    </cfRule>
  </conditionalFormatting>
  <conditionalFormatting sqref="D1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89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2:B255">
    <cfRule type="cellIs" dxfId="0" priority="1" operator="equal">
      <formula>"Electronics"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465640-7411-4D7E-96CB-183EB9C11D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B181:B214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8" zoomScaleNormal="100" workbookViewId="0">
      <selection sqref="A1:F3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Assignment 2 Answers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Naraparaju. Naga Sai Murali</cp:lastModifiedBy>
  <dcterms:modified xsi:type="dcterms:W3CDTF">2026-09-18T12:55:34Z</dcterms:modified>
</cp:coreProperties>
</file>